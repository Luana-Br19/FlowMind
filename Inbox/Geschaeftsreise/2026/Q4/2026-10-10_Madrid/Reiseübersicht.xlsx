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Relationship Type="http://schemas.openxmlformats.org/officeDocument/2006/relationships/hyperlink" Target="Reise&#252;bersicht.xlsx" TargetMode="External" Id="rId8" /><Relationship Type="http://schemas.openxmlformats.org/officeDocument/2006/relationships/hyperlink" Target="Reise&#252;bersicht.xlsx" TargetMode="External" Id="rId9" /><Relationship Type="http://schemas.openxmlformats.org/officeDocument/2006/relationships/hyperlink" Target="Reise&#252;bersicht.xlsx" TargetMode="External" Id="rId10" /><Relationship Type="http://schemas.openxmlformats.org/officeDocument/2006/relationships/hyperlink" Target="Reise&#252;bersicht.xlsx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 ht="20" customHeight="1">
      <c r="A9" s="2" t="inlineStr">
        <is>
          <t>Mietwagen-Sixt-Madrid.md</t>
        </is>
      </c>
      <c r="B9" s="3" t="inlineStr">
        <is>
          <t>Mietwagenrechnung Sixt Madrid</t>
        </is>
      </c>
      <c r="C9" s="3" t="inlineStr">
        <is>
          <t>Mietwagen</t>
        </is>
      </c>
      <c r="D9" s="11" t="n"/>
      <c r="E9" s="5" t="n">
        <v>1350</v>
      </c>
      <c r="F9" s="3" t="inlineStr">
        <is>
          <t>EUR</t>
        </is>
      </c>
      <c r="G9" s="3" t="inlineStr"/>
      <c r="H9" s="3" t="inlineStr">
        <is>
          <t>Spanien</t>
        </is>
      </c>
      <c r="I9" s="11" t="n">
        <v>46305</v>
      </c>
      <c r="J9" s="11" t="n">
        <v>46310</v>
      </c>
      <c r="K9" s="3" t="inlineStr">
        <is>
          <t>Reise</t>
        </is>
      </c>
      <c r="L9" s="3" t="inlineStr">
        <is>
          <t>Rechnung von Sixt Autovermietung für die Anmietung von 2x Premium Minivan (BMW X5 / Mercedes V-Klasse) an der Station Madrid Barajas Airport T4 für den Zeitraum 10.10.2026 bis 15.10.2026.</t>
        </is>
      </c>
    </row>
    <row r="10" ht="20" customHeight="1">
      <c r="A10" s="2" t="inlineStr">
        <is>
          <t>Hotelrechnung-Riu-Plaza-Espana.md</t>
        </is>
      </c>
      <c r="B10" s="3" t="inlineStr">
        <is>
          <t>Hotelrechnung Riu Plaza España Madrid</t>
        </is>
      </c>
      <c r="C10" s="3" t="inlineStr">
        <is>
          <t>Hotelrechnung</t>
        </is>
      </c>
      <c r="D10" s="11" t="n"/>
      <c r="E10" s="5" t="n">
        <v>7900</v>
      </c>
      <c r="F10" s="3" t="inlineStr">
        <is>
          <t>EUR</t>
        </is>
      </c>
      <c r="G10" s="3" t="inlineStr"/>
      <c r="H10" s="3" t="inlineStr">
        <is>
          <t>Spanien</t>
        </is>
      </c>
      <c r="I10" s="11" t="n">
        <v>46305</v>
      </c>
      <c r="J10" s="11" t="n">
        <v>46310</v>
      </c>
      <c r="K10" s="3" t="inlineStr">
        <is>
          <t>Reise</t>
        </is>
      </c>
      <c r="L10" s="3" t="inlineStr">
        <is>
          <t>Hotelrechnung des Hotels Riu Plaza España in Madrid für 10 Zimmer über 5 Nächte im Rahmen einer Geschäftsreise der Global Tech Innovations GmbH.</t>
        </is>
      </c>
    </row>
    <row r="11" ht="20" customHeight="1">
      <c r="A11" s="2" t="inlineStr">
        <is>
          <t>Bewirtungsbeleg-Restaurante-Botin.md</t>
        </is>
      </c>
      <c r="B11" s="3" t="inlineStr">
        <is>
          <t>Bewirtungsbeleg Restaurante Botín Madrid</t>
        </is>
      </c>
      <c r="C11" s="3" t="inlineStr">
        <is>
          <t>Bewirtungsbeleg</t>
        </is>
      </c>
      <c r="D11" s="11" t="n"/>
      <c r="E11" s="5" t="n">
        <v>700</v>
      </c>
      <c r="F11" s="3" t="inlineStr">
        <is>
          <t>EUR</t>
        </is>
      </c>
      <c r="G11" s="3" t="inlineStr"/>
      <c r="H11" s="3" t="inlineStr">
        <is>
          <t>Spanien</t>
        </is>
      </c>
      <c r="I11" s="11" t="n">
        <v>46305</v>
      </c>
      <c r="J11" s="11" t="n">
        <v>46307</v>
      </c>
      <c r="K11" s="3" t="inlineStr">
        <is>
          <t>Reise</t>
        </is>
      </c>
      <c r="L11" s="3" t="inlineStr">
        <is>
          <t>Bewirtungsbeleg für ein Geschäftsessen mit 10 Teilnehmern im Restaurante Botín in Madrid im Rahmen eines Partner-Meetings zur Besprechung der Expansionsstrategie Iberia.</t>
        </is>
      </c>
    </row>
    <row r="12" ht="20" customHeight="1">
      <c r="A12" s="2" t="inlineStr">
        <is>
          <t>Bahnticket-Renfe-Toledo.md</t>
        </is>
      </c>
      <c r="B12" s="3" t="inlineStr">
        <is>
          <t>Renfe Bahntickets Madrid-Toledo Tagesausflug</t>
        </is>
      </c>
      <c r="C12" s="3" t="inlineStr">
        <is>
          <t>Bahnticket</t>
        </is>
      </c>
      <c r="D12" s="11" t="n"/>
      <c r="E12" s="5" t="n">
        <v>278</v>
      </c>
      <c r="F12" s="3" t="inlineStr">
        <is>
          <t>EUR</t>
        </is>
      </c>
      <c r="G12" s="3" t="inlineStr"/>
      <c r="H12" s="3" t="inlineStr">
        <is>
          <t>Spanien</t>
        </is>
      </c>
      <c r="I12" s="11" t="n">
        <v>46308</v>
      </c>
      <c r="J12" s="11" t="n">
        <v>46308</v>
      </c>
      <c r="K12" s="3" t="inlineStr">
        <is>
          <t>Reise</t>
        </is>
      </c>
      <c r="L12" s="3" t="inlineStr">
        <is>
          <t>Gruppenbahntickets für einen Tagesausflug von Madrid nach Toledo und zurück am 13.10.2026 im Rahmen der Geschäftsreise nach Madrid.</t>
        </is>
      </c>
    </row>
    <row r="13">
      <c r="A13" s="3" t="n"/>
      <c r="B13" s="3" t="n"/>
      <c r="C13" s="3" t="n"/>
      <c r="D13" s="3" t="n"/>
      <c r="E13" s="6" t="n"/>
      <c r="F13" s="3" t="n"/>
      <c r="G13" s="3" t="n"/>
      <c r="H13" s="3" t="n"/>
      <c r="I13" s="3" t="n"/>
      <c r="J13" s="3" t="n"/>
      <c r="K13" s="3" t="n"/>
      <c r="L13" s="3" t="n"/>
    </row>
    <row r="14">
      <c r="A14" s="7" t="inlineStr">
        <is>
          <t>Gesamtkosten</t>
        </is>
      </c>
      <c r="B14" s="8" t="n"/>
      <c r="C14" s="8" t="n"/>
      <c r="D14" s="8" t="n"/>
      <c r="E14" s="9">
        <f>SUM(E2:E12)</f>
        <v/>
      </c>
      <c r="F14" s="8" t="n"/>
      <c r="G14" s="8" t="n"/>
      <c r="H14" s="8" t="n"/>
      <c r="I14" s="8" t="n"/>
      <c r="J14" s="8" t="n"/>
      <c r="K14" s="8" t="n"/>
      <c r="L14" s="8" t="n"/>
    </row>
    <row r="15">
      <c r="A15" s="3" t="n"/>
      <c r="B15" s="3" t="n"/>
      <c r="C15" s="3" t="n"/>
      <c r="D15" s="3" t="n"/>
      <c r="E15" s="6" t="n"/>
      <c r="F15" s="3" t="n"/>
      <c r="G15" s="3" t="n"/>
      <c r="H15" s="3" t="n"/>
      <c r="I15" s="3" t="n"/>
      <c r="J15" s="3" t="n"/>
      <c r="K15" s="3" t="n"/>
      <c r="L15" s="3" t="n"/>
    </row>
    <row r="16">
      <c r="A16" s="10" t="inlineStr">
        <is>
          <t>Kosten nach Dokumentart</t>
        </is>
      </c>
      <c r="B16" s="3" t="n"/>
      <c r="C16" s="3" t="n"/>
      <c r="D16" s="3" t="n"/>
      <c r="E16" s="6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Flugrechnung</t>
        </is>
      </c>
      <c r="B17" s="3" t="n"/>
      <c r="C17" s="3" t="n"/>
      <c r="D17" s="3" t="n"/>
      <c r="E17" s="5">
        <f>SUMIF(C2:C12,A17,E2:E12)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Flugticket</t>
        </is>
      </c>
      <c r="B18" s="3" t="n"/>
      <c r="C18" s="3" t="n"/>
      <c r="D18" s="3" t="n"/>
      <c r="E18" s="5">
        <f>SUMIF(C2:C12,A18,E2:E12)</f>
        <v/>
      </c>
      <c r="F18" s="3" t="n"/>
      <c r="G18" s="3" t="n"/>
      <c r="H18" s="3" t="n"/>
      <c r="I18" s="3" t="n"/>
      <c r="J18" s="3" t="n"/>
      <c r="K18" s="3" t="n"/>
      <c r="L18" s="3" t="n"/>
    </row>
    <row r="19">
      <c r="A19" s="3" t="inlineStr">
        <is>
          <t>Taxi</t>
        </is>
      </c>
      <c r="B19" s="3" t="n"/>
      <c r="C19" s="3" t="n"/>
      <c r="D19" s="3" t="n"/>
      <c r="E19" s="5">
        <f>SUMIF(C2:C12,A19,E2:E12)</f>
        <v/>
      </c>
      <c r="F19" s="3" t="n"/>
      <c r="G19" s="3" t="n"/>
      <c r="H19" s="3" t="n"/>
      <c r="I19" s="3" t="n"/>
      <c r="J19" s="3" t="n"/>
      <c r="K19" s="3" t="n"/>
      <c r="L19" s="3" t="n"/>
    </row>
    <row r="20">
      <c r="A20" s="3" t="inlineStr">
        <is>
          <t>Workshop</t>
        </is>
      </c>
      <c r="B20" s="3" t="n"/>
      <c r="C20" s="3" t="n"/>
      <c r="D20" s="3" t="n"/>
      <c r="E20" s="5">
        <f>SUMIF(C2:C12,A20,E2:E12)</f>
        <v/>
      </c>
      <c r="F20" s="3" t="n"/>
      <c r="G20" s="3" t="n"/>
      <c r="H20" s="3" t="n"/>
      <c r="I20" s="3" t="n"/>
      <c r="J20" s="3" t="n"/>
      <c r="K20" s="3" t="n"/>
      <c r="L20" s="3" t="n"/>
    </row>
    <row r="21">
      <c r="A21" s="3" t="inlineStr">
        <is>
          <t>Parkticket</t>
        </is>
      </c>
      <c r="B21" s="3" t="n"/>
      <c r="C21" s="3" t="n"/>
      <c r="D21" s="3" t="n"/>
      <c r="E21" s="5">
        <f>SUMIF(C2:C12,A21,E2:E12)</f>
        <v/>
      </c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Sonstiges</t>
        </is>
      </c>
      <c r="B22" s="3" t="n"/>
      <c r="C22" s="3" t="n"/>
      <c r="D22" s="3" t="n"/>
      <c r="E22" s="5">
        <f>SUMIF(C2:C12,A22,E2:E12)</f>
        <v/>
      </c>
      <c r="F22" s="3" t="n"/>
      <c r="G22" s="3" t="n"/>
      <c r="H22" s="3" t="n"/>
      <c r="I22" s="3" t="n"/>
      <c r="J22" s="3" t="n"/>
      <c r="K22" s="3" t="n"/>
      <c r="L22" s="3" t="n"/>
    </row>
    <row r="23">
      <c r="A23" s="3" t="inlineStr">
        <is>
          <t>Mietwagen</t>
        </is>
      </c>
      <c r="B23" s="3" t="n"/>
      <c r="C23" s="3" t="n"/>
      <c r="D23" s="3" t="n"/>
      <c r="E23" s="5">
        <f>SUMIF(C2:C12,A23,E2:E12)</f>
        <v/>
      </c>
      <c r="F23" s="3" t="n"/>
      <c r="G23" s="3" t="n"/>
      <c r="H23" s="3" t="n"/>
      <c r="I23" s="3" t="n"/>
      <c r="J23" s="3" t="n"/>
      <c r="K23" s="3" t="n"/>
      <c r="L23" s="3" t="n"/>
    </row>
    <row r="24">
      <c r="A24" s="3" t="inlineStr">
        <is>
          <t>Hotelrechnung</t>
        </is>
      </c>
      <c r="B24" s="3" t="n"/>
      <c r="C24" s="3" t="n"/>
      <c r="D24" s="3" t="n"/>
      <c r="E24" s="5">
        <f>SUMIF(C2:C12,A24,E2:E12)</f>
        <v/>
      </c>
      <c r="F24" s="3" t="n"/>
      <c r="G24" s="3" t="n"/>
      <c r="H24" s="3" t="n"/>
      <c r="I24" s="3" t="n"/>
      <c r="J24" s="3" t="n"/>
      <c r="K24" s="3" t="n"/>
      <c r="L24" s="3" t="n"/>
    </row>
    <row r="25">
      <c r="A25" s="3" t="inlineStr">
        <is>
          <t>Bewirtungsbeleg</t>
        </is>
      </c>
      <c r="B25" s="3" t="n"/>
      <c r="C25" s="3" t="n"/>
      <c r="D25" s="3" t="n"/>
      <c r="E25" s="5">
        <f>SUMIF(C2:C12,A25,E2:E12)</f>
        <v/>
      </c>
      <c r="F25" s="3" t="n"/>
      <c r="G25" s="3" t="n"/>
      <c r="H25" s="3" t="n"/>
      <c r="I25" s="3" t="n"/>
      <c r="J25" s="3" t="n"/>
      <c r="K25" s="3" t="n"/>
      <c r="L25" s="3" t="n"/>
    </row>
    <row r="26">
      <c r="A26" s="3" t="inlineStr">
        <is>
          <t>Bahnticket</t>
        </is>
      </c>
      <c r="B26" s="3" t="n"/>
      <c r="C26" s="3" t="n"/>
      <c r="D26" s="3" t="n"/>
      <c r="E26" s="5">
        <f>SUMIF(C2:C12,A26,E2:E12)</f>
        <v/>
      </c>
      <c r="F26" s="3" t="n"/>
      <c r="G26" s="3" t="n"/>
      <c r="H26" s="3" t="n"/>
      <c r="I26" s="3" t="n"/>
      <c r="J26" s="3" t="n"/>
      <c r="K26" s="3" t="n"/>
      <c r="L26" s="3" t="n"/>
    </row>
  </sheetData>
  <autoFilter ref="A1:L12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2026-08-07T17:02:29Z</dcterms:modified>
</cp:coreProperties>
</file>