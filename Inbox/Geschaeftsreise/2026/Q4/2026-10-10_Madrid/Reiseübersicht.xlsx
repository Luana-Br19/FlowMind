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Relationship Type="http://schemas.openxmlformats.org/officeDocument/2006/relationships/hyperlink" Target="Reise&#252;bersicht.xlsx" TargetMode="External" Id="rId5" /><Relationship Type="http://schemas.openxmlformats.org/officeDocument/2006/relationships/hyperlink" Target="Reise&#252;bersicht.xlsx" TargetMode="External" Id="rId6" /><Relationship Type="http://schemas.openxmlformats.org/officeDocument/2006/relationships/hyperlink" Target="Reise&#252;bersicht.xlsx" TargetMode="External" Id="rId7" /><Relationship Type="http://schemas.openxmlformats.org/officeDocument/2006/relationships/hyperlink" Target="Reise&#252;bersicht.xlsx" TargetMode="External" Id="rId8" /><Relationship Type="http://schemas.openxmlformats.org/officeDocument/2006/relationships/hyperlink" Target="Reise&#252;bersicht.xlsx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Flugbuchung-Iberia-Madrid.md</t>
        </is>
      </c>
      <c r="B2" s="3" t="inlineStr">
        <is>
          <t>Flugbuchung Augsburg – Madrid (Iberia/Rail&amp;Fly)</t>
        </is>
      </c>
      <c r="C2" s="3" t="inlineStr">
        <is>
          <t>Flugrechnung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Spanien</t>
        </is>
      </c>
      <c r="I2" s="11" t="n">
        <v>46305</v>
      </c>
      <c r="J2" s="11" t="n">
        <v>46305</v>
      </c>
      <c r="K2" s="3" t="inlineStr">
        <is>
          <t>Reise</t>
        </is>
      </c>
      <c r="L2" s="3" t="inlineStr">
        <is>
          <t>Bestätigte und bezahlte Flugbuchung inkl. Rail&amp;Fly-Zubringer für 10 Personen des Global Tech Innovations Teams von Augsburg über München nach Madrid am 10.10.2026. Gesamtkosten 2.090,00 € inkl. MwSt.</t>
        </is>
      </c>
    </row>
    <row r="3" ht="20" customHeight="1">
      <c r="A3" s="2" t="inlineStr">
        <is>
          <t>Flugticket-Rueckflug-Madrid-Augsburg.md</t>
        </is>
      </c>
      <c r="B3" s="3" t="inlineStr">
        <is>
          <t>Rückflug Madrid - Augsburg (Team Global Tech Innovations)</t>
        </is>
      </c>
      <c r="C3" s="3" t="inlineStr">
        <is>
          <t>Flugticket</t>
        </is>
      </c>
      <c r="D3" s="11" t="n"/>
      <c r="E3" s="5" t="n">
        <v>0</v>
      </c>
      <c r="F3" s="3" t="inlineStr">
        <is>
          <t>EUR</t>
        </is>
      </c>
      <c r="G3" s="3" t="inlineStr"/>
      <c r="H3" s="3" t="inlineStr">
        <is>
          <t>Spanien</t>
        </is>
      </c>
      <c r="I3" s="11" t="n">
        <v>46305</v>
      </c>
      <c r="J3" s="11" t="n">
        <v>46310</v>
      </c>
      <c r="K3" s="3" t="inlineStr">
        <is>
          <t>Reise</t>
        </is>
      </c>
      <c r="L3" s="3" t="inlineStr">
        <is>
          <t>Ticketbeleg für den Rückflug des 10-köpfigen Teams von Madrid über München nach Augsburg am 15. Oktober 2026, inkl. Rail&amp;Fly-Verbindung mit dem ICE.</t>
        </is>
      </c>
    </row>
    <row r="4" ht="20" customHeight="1">
      <c r="A4" s="2" t="inlineStr">
        <is>
          <t>Taxi-Uber-Sammelabrechnung.md</t>
        </is>
      </c>
      <c r="B4" s="3" t="inlineStr">
        <is>
          <t>Uber Business Sammelabrechnung Madrid</t>
        </is>
      </c>
      <c r="C4" s="3" t="inlineStr">
        <is>
          <t>Taxi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Spanien</t>
        </is>
      </c>
      <c r="I4" s="11" t="n">
        <v>46305</v>
      </c>
      <c r="J4" s="11" t="n">
        <v>46309</v>
      </c>
      <c r="K4" s="3" t="inlineStr">
        <is>
          <t>Reise</t>
        </is>
      </c>
      <c r="L4" s="3" t="inlineStr">
        <is>
          <t>Sammelabrechnung für Uber-Fahrten (Uber Comfort/Black/Van) während der Geschäftsreise nach Madrid vom 10. bis 14. Oktober 2026, insgesamt drei Fahrten zwischen Flughafen, Hotel, Business Park und Dinner Event.</t>
        </is>
      </c>
    </row>
    <row r="5" ht="20" customHeight="1">
      <c r="A5" s="2" t="inlineStr">
        <is>
          <t>Workshop-Madrid-Summit.md</t>
        </is>
      </c>
      <c r="B5" s="3" t="inlineStr">
        <is>
          <t>Workshop- &amp; Eventrechnung Tech Strategy &amp; Innovation Summit Madrid 2026</t>
        </is>
      </c>
      <c r="C5" s="3" t="inlineStr">
        <is>
          <t>Workshop</t>
        </is>
      </c>
      <c r="D5" s="11" t="n"/>
      <c r="E5" s="5" t="n">
        <v>0</v>
      </c>
      <c r="F5" s="3" t="inlineStr">
        <is>
          <t>EUR</t>
        </is>
      </c>
      <c r="G5" s="3" t="inlineStr"/>
      <c r="H5" s="3" t="inlineStr">
        <is>
          <t>Spanien</t>
        </is>
      </c>
      <c r="I5" s="11" t="n">
        <v>46305</v>
      </c>
      <c r="J5" s="11" t="n">
        <v>46305</v>
      </c>
      <c r="K5" s="3" t="inlineStr">
        <is>
          <t>Reise</t>
        </is>
      </c>
      <c r="L5" s="3" t="inlineStr">
        <is>
          <t>Rechnung für einen zweitägigen Workshop im Rahmen des Tech Strategy &amp; Innovation Summit in Madrid, veranstaltet von Madrid Executive Innovation Hub S.L. im Impact Hub Madrid - Gobernador. Enthält Kosten für Raummiete, Moderation und Catering.</t>
        </is>
      </c>
    </row>
    <row r="6" ht="20" customHeight="1">
      <c r="A6" s="2" t="inlineStr">
        <is>
          <t>Parkhaus-Quittung-Madrid.md</t>
        </is>
      </c>
      <c r="B6" s="3" t="inlineStr">
        <is>
          <t>Parkgebühren Tiefgarage Plaza de España Madrid</t>
        </is>
      </c>
      <c r="C6" s="3" t="inlineStr">
        <is>
          <t>Parkticket</t>
        </is>
      </c>
      <c r="D6" s="11" t="n"/>
      <c r="E6" s="5" t="n">
        <v>0</v>
      </c>
      <c r="F6" s="3" t="inlineStr">
        <is>
          <t>EUR</t>
        </is>
      </c>
      <c r="G6" s="3" t="inlineStr"/>
      <c r="H6" s="3" t="inlineStr">
        <is>
          <t>Spanien</t>
        </is>
      </c>
      <c r="I6" s="11" t="n">
        <v>46305</v>
      </c>
      <c r="J6" s="11" t="n">
        <v>46310</v>
      </c>
      <c r="K6" s="3" t="inlineStr">
        <is>
          <t>Reise</t>
        </is>
      </c>
      <c r="L6" s="3" t="inlineStr">
        <is>
          <t>Quittung für Langzeit-Parkticket in der Tiefgarage Plaza de España, Madrid, für 2 Mietwagen der Firmen-Delegation über 5 Tage (10.10.–15.10.2026).</t>
        </is>
      </c>
    </row>
    <row r="7" ht="20" customHeight="1">
      <c r="A7" s="2" t="inlineStr">
        <is>
          <t>OePNV-Metro-Madrid.md</t>
        </is>
      </c>
      <c r="B7" s="3" t="inlineStr">
        <is>
          <t>ÖPNV Quittung Metro Madrid</t>
        </is>
      </c>
      <c r="C7" s="3" t="inlineStr">
        <is>
          <t>Sonstiges</t>
        </is>
      </c>
      <c r="D7" s="11" t="n"/>
      <c r="E7" s="5" t="n">
        <v>251</v>
      </c>
      <c r="F7" s="3" t="inlineStr">
        <is>
          <t>EUR</t>
        </is>
      </c>
      <c r="G7" s="3" t="inlineStr"/>
      <c r="H7" s="3" t="inlineStr">
        <is>
          <t>Spanien</t>
        </is>
      </c>
      <c r="I7" s="11" t="n">
        <v>46305</v>
      </c>
      <c r="J7" s="11" t="n">
        <v>46305</v>
      </c>
      <c r="K7" s="3" t="inlineStr">
        <is>
          <t>Reise</t>
        </is>
      </c>
      <c r="L7" s="3" t="inlineStr">
        <is>
          <t>Beleg über den Kauf von 10 Tourist-Pässen (5-Tage, Zone A) für die Nutzung des öffentlichen Nahverkehrs in Madrid inklusive Multi-Card.</t>
        </is>
      </c>
    </row>
    <row r="8" ht="20" customHeight="1">
      <c r="A8" s="2" t="inlineStr">
        <is>
          <t>Minibar-Rechnung-Madrid.md</t>
        </is>
      </c>
      <c r="B8" s="3" t="inlineStr">
        <is>
          <t>Minibar Eigenbeleg Hotel Riu Plaza España Madrid</t>
        </is>
      </c>
      <c r="C8" s="3" t="inlineStr">
        <is>
          <t>Sonstiges</t>
        </is>
      </c>
      <c r="D8" s="11" t="n"/>
      <c r="E8" s="5" t="n">
        <v>160</v>
      </c>
      <c r="F8" s="3" t="inlineStr">
        <is>
          <t>EUR</t>
        </is>
      </c>
      <c r="G8" s="3" t="inlineStr"/>
      <c r="H8" s="3" t="inlineStr">
        <is>
          <t>Spanien</t>
        </is>
      </c>
      <c r="I8" s="11" t="n">
        <v>46305</v>
      </c>
      <c r="J8" s="11" t="n">
        <v>46310</v>
      </c>
      <c r="K8" s="3" t="inlineStr">
        <is>
          <t>Reise</t>
        </is>
      </c>
      <c r="L8" s="3" t="inlineStr">
        <is>
          <t>Eigenbeleg für Minibar-Konsum der Zimmer 401 bis 410 (Team Global Tech) im Hotel Riu Plaza España, Madrid, über Hotelrechnung beglichen.</t>
        </is>
      </c>
    </row>
    <row r="9" ht="20" customHeight="1">
      <c r="A9" s="2" t="inlineStr">
        <is>
          <t>Mietwagen-Sixt-Madrid.md</t>
        </is>
      </c>
      <c r="B9" s="3" t="inlineStr">
        <is>
          <t>Mietwagenrechnung Sixt Madrid</t>
        </is>
      </c>
      <c r="C9" s="3" t="inlineStr">
        <is>
          <t>Mietwagen</t>
        </is>
      </c>
      <c r="D9" s="11" t="n"/>
      <c r="E9" s="5" t="n">
        <v>1350</v>
      </c>
      <c r="F9" s="3" t="inlineStr">
        <is>
          <t>EUR</t>
        </is>
      </c>
      <c r="G9" s="3" t="inlineStr"/>
      <c r="H9" s="3" t="inlineStr">
        <is>
          <t>Spanien</t>
        </is>
      </c>
      <c r="I9" s="11" t="n">
        <v>46305</v>
      </c>
      <c r="J9" s="11" t="n">
        <v>46310</v>
      </c>
      <c r="K9" s="3" t="inlineStr">
        <is>
          <t>Reise</t>
        </is>
      </c>
      <c r="L9" s="3" t="inlineStr">
        <is>
          <t>Rechnung von Sixt Autovermietung für die Anmietung von 2x Premium Minivan (BMW X5 / Mercedes V-Klasse) an der Station Madrid Barajas Airport T4 für den Zeitraum 10.10.2026 bis 15.10.2026.</t>
        </is>
      </c>
    </row>
    <row r="10" ht="20" customHeight="1">
      <c r="A10" s="2" t="inlineStr">
        <is>
          <t>Hotelrechnung-Riu-Plaza-Espana.md</t>
        </is>
      </c>
      <c r="B10" s="3" t="inlineStr">
        <is>
          <t>Hotelrechnung Riu Plaza España Madrid</t>
        </is>
      </c>
      <c r="C10" s="3" t="inlineStr">
        <is>
          <t>Hotelrechnung</t>
        </is>
      </c>
      <c r="D10" s="11" t="n"/>
      <c r="E10" s="5" t="n">
        <v>7900</v>
      </c>
      <c r="F10" s="3" t="inlineStr">
        <is>
          <t>EUR</t>
        </is>
      </c>
      <c r="G10" s="3" t="inlineStr"/>
      <c r="H10" s="3" t="inlineStr">
        <is>
          <t>Spanien</t>
        </is>
      </c>
      <c r="I10" s="11" t="n">
        <v>46305</v>
      </c>
      <c r="J10" s="11" t="n">
        <v>46310</v>
      </c>
      <c r="K10" s="3" t="inlineStr">
        <is>
          <t>Reise</t>
        </is>
      </c>
      <c r="L10" s="3" t="inlineStr">
        <is>
          <t>Hotelrechnung des Hotels Riu Plaza España in Madrid für 10 Zimmer über 5 Nächte im Rahmen einer Geschäftsreise der Global Tech Innovations GmbH.</t>
        </is>
      </c>
    </row>
    <row r="11">
      <c r="A11" s="3" t="n"/>
      <c r="B11" s="3" t="n"/>
      <c r="C11" s="3" t="n"/>
      <c r="D11" s="3" t="n"/>
      <c r="E11" s="6" t="n"/>
      <c r="F11" s="3" t="n"/>
      <c r="G11" s="3" t="n"/>
      <c r="H11" s="3" t="n"/>
      <c r="I11" s="3" t="n"/>
      <c r="J11" s="3" t="n"/>
      <c r="K11" s="3" t="n"/>
      <c r="L11" s="3" t="n"/>
    </row>
    <row r="12">
      <c r="A12" s="7" t="inlineStr">
        <is>
          <t>Gesamtkosten</t>
        </is>
      </c>
      <c r="B12" s="8" t="n"/>
      <c r="C12" s="8" t="n"/>
      <c r="D12" s="8" t="n"/>
      <c r="E12" s="9">
        <f>SUM(E2:E10)</f>
        <v/>
      </c>
      <c r="F12" s="8" t="n"/>
      <c r="G12" s="8" t="n"/>
      <c r="H12" s="8" t="n"/>
      <c r="I12" s="8" t="n"/>
      <c r="J12" s="8" t="n"/>
      <c r="K12" s="8" t="n"/>
      <c r="L12" s="8" t="n"/>
    </row>
    <row r="13">
      <c r="A13" s="3" t="n"/>
      <c r="B13" s="3" t="n"/>
      <c r="C13" s="3" t="n"/>
      <c r="D13" s="3" t="n"/>
      <c r="E13" s="6" t="n"/>
      <c r="F13" s="3" t="n"/>
      <c r="G13" s="3" t="n"/>
      <c r="H13" s="3" t="n"/>
      <c r="I13" s="3" t="n"/>
      <c r="J13" s="3" t="n"/>
      <c r="K13" s="3" t="n"/>
      <c r="L13" s="3" t="n"/>
    </row>
    <row r="14">
      <c r="A14" s="10" t="inlineStr">
        <is>
          <t>Kosten nach Dokumentart</t>
        </is>
      </c>
      <c r="B14" s="3" t="n"/>
      <c r="C14" s="3" t="n"/>
      <c r="D14" s="3" t="n"/>
      <c r="E14" s="6" t="n"/>
      <c r="F14" s="3" t="n"/>
      <c r="G14" s="3" t="n"/>
      <c r="H14" s="3" t="n"/>
      <c r="I14" s="3" t="n"/>
      <c r="J14" s="3" t="n"/>
      <c r="K14" s="3" t="n"/>
      <c r="L14" s="3" t="n"/>
    </row>
    <row r="15">
      <c r="A15" s="3" t="inlineStr">
        <is>
          <t>Flugrechnung</t>
        </is>
      </c>
      <c r="B15" s="3" t="n"/>
      <c r="C15" s="3" t="n"/>
      <c r="D15" s="3" t="n"/>
      <c r="E15" s="5">
        <f>SUMIF(C2:C10,A15,E2:E10)</f>
        <v/>
      </c>
      <c r="F15" s="3" t="n"/>
      <c r="G15" s="3" t="n"/>
      <c r="H15" s="3" t="n"/>
      <c r="I15" s="3" t="n"/>
      <c r="J15" s="3" t="n"/>
      <c r="K15" s="3" t="n"/>
      <c r="L15" s="3" t="n"/>
    </row>
    <row r="16">
      <c r="A16" s="3" t="inlineStr">
        <is>
          <t>Flugticket</t>
        </is>
      </c>
      <c r="B16" s="3" t="n"/>
      <c r="C16" s="3" t="n"/>
      <c r="D16" s="3" t="n"/>
      <c r="E16" s="5">
        <f>SUMIF(C2:C10,A16,E2:E10)</f>
        <v/>
      </c>
      <c r="F16" s="3" t="n"/>
      <c r="G16" s="3" t="n"/>
      <c r="H16" s="3" t="n"/>
      <c r="I16" s="3" t="n"/>
      <c r="J16" s="3" t="n"/>
      <c r="K16" s="3" t="n"/>
      <c r="L16" s="3" t="n"/>
    </row>
    <row r="17">
      <c r="A17" s="3" t="inlineStr">
        <is>
          <t>Taxi</t>
        </is>
      </c>
      <c r="B17" s="3" t="n"/>
      <c r="C17" s="3" t="n"/>
      <c r="D17" s="3" t="n"/>
      <c r="E17" s="5">
        <f>SUMIF(C2:C10,A17,E2:E10)</f>
        <v/>
      </c>
      <c r="F17" s="3" t="n"/>
      <c r="G17" s="3" t="n"/>
      <c r="H17" s="3" t="n"/>
      <c r="I17" s="3" t="n"/>
      <c r="J17" s="3" t="n"/>
      <c r="K17" s="3" t="n"/>
      <c r="L17" s="3" t="n"/>
    </row>
    <row r="18">
      <c r="A18" s="3" t="inlineStr">
        <is>
          <t>Workshop</t>
        </is>
      </c>
      <c r="B18" s="3" t="n"/>
      <c r="C18" s="3" t="n"/>
      <c r="D18" s="3" t="n"/>
      <c r="E18" s="5">
        <f>SUMIF(C2:C10,A18,E2:E10)</f>
        <v/>
      </c>
      <c r="F18" s="3" t="n"/>
      <c r="G18" s="3" t="n"/>
      <c r="H18" s="3" t="n"/>
      <c r="I18" s="3" t="n"/>
      <c r="J18" s="3" t="n"/>
      <c r="K18" s="3" t="n"/>
      <c r="L18" s="3" t="n"/>
    </row>
    <row r="19">
      <c r="A19" s="3" t="inlineStr">
        <is>
          <t>Parkticket</t>
        </is>
      </c>
      <c r="B19" s="3" t="n"/>
      <c r="C19" s="3" t="n"/>
      <c r="D19" s="3" t="n"/>
      <c r="E19" s="5">
        <f>SUMIF(C2:C10,A19,E2:E10)</f>
        <v/>
      </c>
      <c r="F19" s="3" t="n"/>
      <c r="G19" s="3" t="n"/>
      <c r="H19" s="3" t="n"/>
      <c r="I19" s="3" t="n"/>
      <c r="J19" s="3" t="n"/>
      <c r="K19" s="3" t="n"/>
      <c r="L19" s="3" t="n"/>
    </row>
    <row r="20">
      <c r="A20" s="3" t="inlineStr">
        <is>
          <t>Sonstiges</t>
        </is>
      </c>
      <c r="B20" s="3" t="n"/>
      <c r="C20" s="3" t="n"/>
      <c r="D20" s="3" t="n"/>
      <c r="E20" s="5">
        <f>SUMIF(C2:C10,A20,E2:E10)</f>
        <v/>
      </c>
      <c r="F20" s="3" t="n"/>
      <c r="G20" s="3" t="n"/>
      <c r="H20" s="3" t="n"/>
      <c r="I20" s="3" t="n"/>
      <c r="J20" s="3" t="n"/>
      <c r="K20" s="3" t="n"/>
      <c r="L20" s="3" t="n"/>
    </row>
    <row r="21">
      <c r="A21" s="3" t="inlineStr">
        <is>
          <t>Mietwagen</t>
        </is>
      </c>
      <c r="B21" s="3" t="n"/>
      <c r="C21" s="3" t="n"/>
      <c r="D21" s="3" t="n"/>
      <c r="E21" s="5">
        <f>SUMIF(C2:C10,A21,E2:E10)</f>
        <v/>
      </c>
      <c r="F21" s="3" t="n"/>
      <c r="G21" s="3" t="n"/>
      <c r="H21" s="3" t="n"/>
      <c r="I21" s="3" t="n"/>
      <c r="J21" s="3" t="n"/>
      <c r="K21" s="3" t="n"/>
      <c r="L21" s="3" t="n"/>
    </row>
    <row r="22">
      <c r="A22" s="3" t="inlineStr">
        <is>
          <t>Hotelrechnung</t>
        </is>
      </c>
      <c r="B22" s="3" t="n"/>
      <c r="C22" s="3" t="n"/>
      <c r="D22" s="3" t="n"/>
      <c r="E22" s="5">
        <f>SUMIF(C2:C10,A22,E2:E10)</f>
        <v/>
      </c>
      <c r="F22" s="3" t="n"/>
      <c r="G22" s="3" t="n"/>
      <c r="H22" s="3" t="n"/>
      <c r="I22" s="3" t="n"/>
      <c r="J22" s="3" t="n"/>
      <c r="K22" s="3" t="n"/>
      <c r="L22" s="3" t="n"/>
    </row>
  </sheetData>
  <autoFilter ref="A1:L10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2026-08-07T16:56:18Z</dcterms:created>
  <dcterms:modified xsi:type="dcterms:W3CDTF">2026-08-07T17:01:14Z</dcterms:modified>
</cp:coreProperties>
</file>